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CAD_Camsat_PCB" sheetId="1" r:id="rId1"/>
  </sheets>
  <definedNames>
    <definedName name="BoardQty" localSheetId="0">'KiCAD_Camsat_PCB'!$G$1</definedName>
    <definedName name="TotalCost" localSheetId="0">'KiCAD_Camsat_PCB'!$G$3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F3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G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<sst xmlns="http://schemas.openxmlformats.org/spreadsheetml/2006/main" count="35" uniqueCount="28">
  <si>
    <t>Global Part Info</t>
  </si>
  <si>
    <t>Refs</t>
  </si>
  <si>
    <t>Value</t>
  </si>
  <si>
    <t>Footprint</t>
  </si>
  <si>
    <t>Manf#</t>
  </si>
  <si>
    <t>Qty</t>
  </si>
  <si>
    <t>Unit$</t>
  </si>
  <si>
    <t>Ext$</t>
  </si>
  <si>
    <t>0.1uF0,LESD5D5.0CT1G,BSS138,1kÎ©0,47.5kÎ©,22Î©,5.1kÎ©0,0Î©0,PTS645SH50SMTR92LFS</t>
  </si>
  <si>
    <t>???</t>
  </si>
  <si>
    <t>2</t>
  </si>
  <si>
    <t>100n,100nF,10kÎ©</t>
  </si>
  <si>
    <t>4</t>
  </si>
  <si>
    <t>2u2,JUMPERSMT_2_NC_TRACE_SILK0</t>
  </si>
  <si>
    <t>3</t>
  </si>
  <si>
    <t>JUMPERSMT_3_1NC_TRACE_SILK0,10uF,22uF,4.7uF0,RED0,1N4148,S_MODE0,105017-1,210-1S-13Ppin,Goldplated0,DZ127R-11-02-25,SMDJUMPERCONNECTED_TRACE_SLODERMASK0,SMD_JUMPER0,0805G,Green0,FC2012HRK620D0,2N7002T-7-F,SS8050-SS164885,10k,2.2k0,1k0,10K,22.1kÎ©,560Î©,ISM330DHCX,BME280,SE5218,TXB0104QPWRQ1,DHT11,AMS1117-AMS347222,ESP32-WROOM-32E8MB,CP2102N-A02-GQFN28R</t>
  </si>
  <si>
    <t>1</t>
  </si>
  <si>
    <t>Prj:</t>
  </si>
  <si>
    <t>KiCAD_Camsat_PCB.csv</t>
  </si>
  <si>
    <t>Co.:</t>
  </si>
  <si>
    <t>Prj date:</t>
  </si>
  <si>
    <t>2026-04-01 00:43:22 (file)</t>
  </si>
  <si>
    <t>Board Qty:</t>
  </si>
  <si>
    <t>Total Cost:</t>
  </si>
  <si>
    <t>Unit Cost:</t>
  </si>
  <si>
    <t>$ date:</t>
  </si>
  <si>
    <t>2026-04-01 00:51:03</t>
  </si>
  <si>
    <t>KiCost® v1.1.20</t>
  </si>
</sst>
</file>

<file path=xl/styles.xml><?xml version="1.0" encoding="utf-8"?>
<styleSheet xmlns="http://schemas.openxmlformats.org/spreadsheetml/2006/main">
  <numFmts count="1">
    <numFmt numFmtId="164" formatCode="$#,##0.00"/>
  </numFmts>
  <fonts count="8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defaultRowHeight="15" outlineLevelCol="2"/>
  <cols>
    <col min="1" max="1" width="33.7109375" customWidth="1"/>
    <col min="3" max="3" width="12.7109375" customWidth="1" outlineLevel="2"/>
    <col min="4" max="5" width="9.140625" outlineLevel="1"/>
    <col min="6" max="6" width="15.7109375" customWidth="1"/>
    <col min="7" max="7" width="16.7109375" customWidth="1"/>
  </cols>
  <sheetData>
    <row r="1" spans="1:7">
      <c r="A1" s="1" t="s">
        <v>17</v>
      </c>
      <c r="B1" s="2" t="s">
        <v>18</v>
      </c>
      <c r="F1" s="3" t="s">
        <v>22</v>
      </c>
      <c r="G1" s="3">
        <v>100</v>
      </c>
    </row>
    <row r="2" spans="1:7">
      <c r="A2" s="1" t="s">
        <v>19</v>
      </c>
      <c r="B2" s="2"/>
      <c r="F2" s="1" t="s">
        <v>24</v>
      </c>
      <c r="G2" s="4">
        <f>TotalCost/BoardQty</f>
        <v>0.0</v>
      </c>
    </row>
    <row r="3" spans="1:7">
      <c r="A3" s="1" t="s">
        <v>20</v>
      </c>
      <c r="B3" s="2" t="s">
        <v>21</v>
      </c>
      <c r="F3" s="1" t="s">
        <v>23</v>
      </c>
      <c r="G3" s="5">
        <f>SUM(G7:G10)</f>
        <v>0</v>
      </c>
    </row>
    <row r="4" spans="1:7">
      <c r="A4" s="1" t="s">
        <v>25</v>
      </c>
      <c r="B4" s="2" t="s">
        <v>26</v>
      </c>
    </row>
    <row r="5" spans="1:7">
      <c r="A5" s="6" t="s">
        <v>0</v>
      </c>
      <c r="B5" s="6"/>
      <c r="C5" s="6"/>
      <c r="D5" s="6"/>
      <c r="E5" s="6"/>
      <c r="F5" s="6"/>
      <c r="G5" s="6"/>
    </row>
    <row r="6" spans="1:7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</row>
    <row r="7" spans="1:7" ht="45" customHeight="1">
      <c r="A7" s="8" t="s">
        <v>8</v>
      </c>
      <c r="B7" s="8" t="s">
        <v>9</v>
      </c>
      <c r="C7" s="8" t="s">
        <v>9</v>
      </c>
      <c r="D7" s="8" t="s">
        <v>10</v>
      </c>
      <c r="E7" s="8">
        <f>CEILING(BoardQty*9.0,1)</f>
        <v>900</v>
      </c>
      <c r="G7" s="9">
        <f>IF(AND(ISNUMBER(E7),ISNUMBER(F7)),E7*F7,"")</f>
        <v/>
      </c>
    </row>
    <row r="8" spans="1:7">
      <c r="A8" s="8" t="s">
        <v>11</v>
      </c>
      <c r="B8" s="8" t="s">
        <v>9</v>
      </c>
      <c r="C8" s="8" t="s">
        <v>9</v>
      </c>
      <c r="D8" s="8" t="s">
        <v>12</v>
      </c>
      <c r="E8" s="8">
        <f>CEILING(BoardQty*3.0,1)</f>
        <v>300</v>
      </c>
      <c r="G8" s="9">
        <f>IF(AND(ISNUMBER(E8),ISNUMBER(F8)),E8*F8,"")</f>
        <v/>
      </c>
    </row>
    <row r="9" spans="1:7">
      <c r="A9" s="8" t="s">
        <v>13</v>
      </c>
      <c r="B9" s="8" t="s">
        <v>9</v>
      </c>
      <c r="C9" s="8" t="s">
        <v>9</v>
      </c>
      <c r="D9" s="8" t="s">
        <v>14</v>
      </c>
      <c r="E9" s="8">
        <f>CEILING(BoardQty*2.0,1)</f>
        <v>200</v>
      </c>
      <c r="G9" s="9">
        <f>IF(AND(ISNUMBER(E9),ISNUMBER(F9)),E9*F9,"")</f>
        <v/>
      </c>
    </row>
    <row r="10" spans="1:7" ht="195" customHeight="1">
      <c r="A10" s="8" t="s">
        <v>15</v>
      </c>
      <c r="B10" s="8" t="s">
        <v>9</v>
      </c>
      <c r="C10" s="8" t="s">
        <v>9</v>
      </c>
      <c r="D10" s="8" t="s">
        <v>16</v>
      </c>
      <c r="E10" s="8">
        <f>CEILING(BoardQty*502972.0,1)</f>
        <v>50297200</v>
      </c>
      <c r="G10" s="9">
        <f>IF(AND(ISNUMBER(E10),ISNUMBER(F10)),E10*F10,"")</f>
        <v/>
      </c>
    </row>
    <row r="13" spans="1:7">
      <c r="A13" s="2" t="s">
        <v>27</v>
      </c>
    </row>
  </sheetData>
  <mergeCells count="1">
    <mergeCell ref="A5:G5"/>
  </mergeCells>
  <conditionalFormatting sqref="E10">
    <cfRule type="expression" dxfId="0" priority="4">
      <formula>AND(ISBLANK(D10),TRUE())</formula>
    </cfRule>
  </conditionalFormatting>
  <conditionalFormatting sqref="E7">
    <cfRule type="expression" dxfId="0" priority="1">
      <formula>AND(ISBLANK(D7),TRUE())</formula>
    </cfRule>
  </conditionalFormatting>
  <conditionalFormatting sqref="E8">
    <cfRule type="expression" dxfId="0" priority="2">
      <formula>AND(ISBLANK(D8),TRUE())</formula>
    </cfRule>
  </conditionalFormatting>
  <conditionalFormatting sqref="E9">
    <cfRule type="expression" dxfId="0" priority="3">
      <formula>AND(ISBLANK(D9),TRUE())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KiCAD_Camsat_PCB</vt:lpstr>
      <vt:lpstr>'KiCAD_Camsat_PCB'!BoardQty</vt:lpstr>
      <vt:lpstr>'KiCAD_Camsat_PCB'!TotalCost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2026-04-01T07:51:03Z</dcterms:created>
  <dcterms:modified xsi:type="dcterms:W3CDTF">2026-04-01T07:51:03Z</dcterms:modified>
</cp:coreProperties>
</file>